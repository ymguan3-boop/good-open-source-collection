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54ce39efd43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析結果" sheetId="1" r:id="R9a7f79c2d40744f5"/>
    <x:sheet xmlns:r="http://schemas.openxmlformats.org/officeDocument/2006/relationships" name="方法與來源" sheetId="2" r:id="Rb2d534ad4f3944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"/>
    <x:numFmt numFmtId="202" formatCode="0.000"/>
    <x:numFmt numFmtId="203" formatCode="0.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6100dd761f46ae" /><Relationship Type="http://schemas.openxmlformats.org/officeDocument/2006/relationships/theme" Target="/xl/theme/theme1.xml" Id="R310859d306f44892" /><Relationship Type="http://schemas.openxmlformats.org/officeDocument/2006/relationships/sharedStrings" Target="/xl/sharedStrings.xml" Id="Re1cf3ba7e5d14bcb" /><Relationship Type="http://schemas.openxmlformats.org/officeDocument/2006/relationships/worksheet" Target="/xl/worksheets/sheet1.xml" Id="R9a7f79c2d40744f5" /><Relationship Type="http://schemas.openxmlformats.org/officeDocument/2006/relationships/worksheet" Target="/xl/worksheets/sheet2.xml" Id="Rb2d534ad4f394477" /></Relationships>
</file>

<file path=xl/tables/table1.xml><?xml version="1.0" encoding="utf-8"?>
<x:table xmlns:x="http://schemas.openxmlformats.org/spreadsheetml/2006/main" id="1" name="CarbonRiskTable" displayName="CarbonRiskTable" ref="A4:N16" headerRowCount="1" totalsRowCount="0" totalsRowShown="0">
  <x:tableColumns count="14">
    <x:tableColumn id="1" name="排名"/>
    <x:tableColumn id="2" name="鄉鎮市"/>
    <x:tableColumn id="3" name="行政區代碼"/>
    <x:tableColumn id="4" name="住宅總宅數(2019)"/>
    <x:tableColumn id="5" name="平均屋齡(年)"/>
    <x:tableColumn id="6" name="30年以上住宅占比(%)"/>
    <x:tableColumn id="7" name="推估30年以上住宅宅數"/>
    <x:tableColumn id="8" name="占比正規化"/>
    <x:tableColumn id="9" name="宅數正規化"/>
    <x:tableColumn id="10" name="綜合初篩指數"/>
    <x:tableColumn id="11" name="風險分級"/>
    <x:tableColumn id="12" name="鄉鎮資料期"/>
    <x:tableColumn id="13" name="縣級現況參考"/>
    <x:tableColumn id="14" name="限制說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81bf7c15464be4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" hidden="0" customWidth="1"/>
    <x:col min="3" max="3" width="13" hidden="0" customWidth="1"/>
    <x:col min="4" max="4" width="16" hidden="0" customWidth="1"/>
    <x:col min="5" max="5" width="12" hidden="0" customWidth="1"/>
    <x:col min="6" max="6" width="20" hidden="0" customWidth="1"/>
    <x:col min="7" max="7" width="20" hidden="0" customWidth="1"/>
    <x:col min="8" max="8" width="13" hidden="0" customWidth="1"/>
    <x:col min="9" max="9" width="13" hidden="0" customWidth="1"/>
    <x:col min="10" max="10" width="14" hidden="0" customWidth="1"/>
    <x:col min="11" max="11" width="13" hidden="0" customWidth="1"/>
    <x:col min="12" max="12" width="12" hidden="0" customWidth="1"/>
    <x:col min="13" max="13" width="38" hidden="0" customWidth="1"/>
    <x:col min="14" max="14" width="42" hidden="0" customWidth="1"/>
  </x:cols>
  <x:sheetData>
    <x:row r="1" ht="28" customHeight="1">
      <x:c r="A1" s="5" t="str">
        <x:v>宜蘭縣既有住宅碳排風險潛勢初篩 v0.2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2" t="str">
        <x:v>縣級現況參考</x:v>
      </x:c>
      <x:c r="B2" s="12" t="str">
        <x:v>2025 Q2</x:v>
      </x:c>
      <x:c r="C2" s="12" t="str">
        <x:v>平均屋齡</x:v>
      </x:c>
      <x:c r="D2" s="12" t="n">
        <x:v>35</x:v>
      </x:c>
      <x:c r="E2" s="12" t="str">
        <x:v>30年以上住宅占比</x:v>
      </x:c>
      <x:c r="F2" s="12" t="n">
        <x:v>60.5</x:v>
      </x:c>
    </x:row>
    <x:row r="3">
      <x:c r="A3" s="12" t="str">
        <x:v>30年以上住宅</x:v>
      </x:c>
      <x:c r="B3" s="12" t="n">
        <x:v>123027</x:v>
      </x:c>
      <x:c r="C3" s="12" t="str">
        <x:v>鄉鎮基線期</x:v>
      </x:c>
      <x:c r="D3" s="12" t="str">
        <x:v>2019年末</x:v>
      </x:c>
      <x:c r="E3" s="12" t="str">
        <x:v>用途</x:v>
      </x:c>
      <x:c r="F3" s="12" t="str">
        <x:v>優先查核初篩（非實際碳排量）</x:v>
      </x:c>
    </x:row>
    <x:row r="4">
      <x:c r="A4" s="18" t="str">
        <x:v>排名</x:v>
      </x:c>
      <x:c r="B4" s="18" t="str">
        <x:v>鄉鎮市</x:v>
      </x:c>
      <x:c r="C4" s="18" t="str">
        <x:v>行政區代碼</x:v>
      </x:c>
      <x:c r="D4" s="18" t="str">
        <x:v>住宅總宅數(2019)</x:v>
      </x:c>
      <x:c r="E4" s="18" t="str">
        <x:v>平均屋齡(年)</x:v>
      </x:c>
      <x:c r="F4" s="18" t="str">
        <x:v>30年以上住宅占比(%)</x:v>
      </x:c>
      <x:c r="G4" s="18" t="str">
        <x:v>推估30年以上住宅宅數</x:v>
      </x:c>
      <x:c r="H4" s="18" t="str">
        <x:v>占比正規化</x:v>
      </x:c>
      <x:c r="I4" s="18" t="str">
        <x:v>宅數正規化</x:v>
      </x:c>
      <x:c r="J4" s="18" t="str">
        <x:v>綜合初篩指數</x:v>
      </x:c>
      <x:c r="K4" s="18" t="str">
        <x:v>風險分級</x:v>
      </x:c>
      <x:c r="L4" s="18" t="str">
        <x:v>鄉鎮資料期</x:v>
      </x:c>
      <x:c r="M4" s="18" t="str">
        <x:v>縣級現況參考</x:v>
      </x:c>
      <x:c r="N4" s="18" t="str">
        <x:v>限制說明</x:v>
      </x:c>
    </x:row>
    <x:row r="5">
      <x:c r="A5" s="32" t="n">
        <x:v>1</x:v>
      </x:c>
      <x:c r="B5" s="32" t="str">
        <x:v>蘇澳鎮</x:v>
      </x:c>
      <x:c r="C5" s="32" t="str">
        <x:v>1000203</x:v>
      </x:c>
      <x:c r="D5" s="24" t="n">
        <x:v>15729</x:v>
      </x:c>
      <x:c r="E5" s="24" t="n">
        <x:v>38</x:v>
      </x:c>
      <x:c r="F5" s="26" t="n">
        <x:v>71.28</x:v>
      </x:c>
      <x:c r="G5" s="24" t="n">
        <x:f>ROUND(D5*F5/100,0)</x:f>
        <x:v>11212</x:v>
      </x:c>
      <x:c r="H5" s="28" t="n">
        <x:f>(F5-MIN($F$5:$F$16))/(MAX($F$5:$F$16)-MIN($F$5:$F$16))</x:f>
        <x:v>1</x:v>
      </x:c>
      <x:c r="I5" s="28" t="n">
        <x:f>(G5-MIN($G$5:$G$16))/(MAX($G$5:$G$16)-MIN($G$5:$G$16))</x:f>
        <x:v>0.5947377317031945</x:v>
      </x:c>
      <x:c r="J5" s="30" t="n">
        <x:f>ROUND(100*(0.65*H5+0.35*I5),1)</x:f>
        <x:v>85.8</x:v>
      </x:c>
      <x:c r="K5" s="32" t="str">
        <x:f>IF(J5&gt;=75,"A 極高優先",IF(J5&gt;=55,"B 高優先",IF(J5&gt;=35,"C 中度","D 較低")))</x:f>
        <x:v>A 極高優先</x:v>
      </x:c>
      <x:c r="L5" s="10" t="str">
        <x:v>2019年末</x:v>
      </x:c>
      <x:c r="M5" s="10" t="str">
        <x:v>宜蘭縣 2025 Q2：平均屋齡35.0年；30年以上123,027宅；占60.5%</x:v>
      </x:c>
      <x:c r="N5" s="10" t="str">
        <x:v>初篩代理指標；非實測碳排量，亦非官方BERS/BERSe評分</x:v>
      </x:c>
    </x:row>
    <x:row r="6">
      <x:c r="A6" s="32" t="n">
        <x:v>2</x:v>
      </x:c>
      <x:c r="B6" s="32" t="str">
        <x:v>頭城鎮</x:v>
      </x:c>
      <x:c r="C6" s="32" t="str">
        <x:v>1000204</x:v>
      </x:c>
      <x:c r="D6" s="24" t="n">
        <x:v>12722</x:v>
      </x:c>
      <x:c r="E6" s="24" t="n">
        <x:v>33</x:v>
      </x:c>
      <x:c r="F6" s="26" t="n">
        <x:v>63.17</x:v>
      </x:c>
      <x:c r="G6" s="24" t="n">
        <x:f>ROUND(D6*F6/100,0)</x:f>
        <x:v>8036</x:v>
      </x:c>
      <x:c r="H6" s="28" t="n">
        <x:f>(F6-MIN($F$5:$F$16))/(MAX($F$5:$F$16)-MIN($F$5:$F$16))</x:f>
        <x:v>0.7330480579328505</x:v>
      </x:c>
      <x:c r="I6" s="28" t="n">
        <x:f>(G6-MIN($G$5:$G$16))/(MAX($G$5:$G$16)-MIN($G$5:$G$16))</x:f>
        <x:v>0.41579807313088063</x:v>
      </x:c>
      <x:c r="J6" s="30" t="n">
        <x:f>ROUND(100*(0.65*H6+0.35*I6),1)</x:f>
        <x:v>62.2</x:v>
      </x:c>
      <x:c r="K6" s="32" t="str">
        <x:f>IF(J6&gt;=75,"A 極高優先",IF(J6&gt;=55,"B 高優先",IF(J6&gt;=35,"C 中度","D 較低")))</x:f>
        <x:v>B 高優先</x:v>
      </x:c>
      <x:c r="L6" s="10" t="str">
        <x:v>2019年末</x:v>
      </x:c>
      <x:c r="M6" s="10" t="str">
        <x:v>宜蘭縣 2025 Q2：平均屋齡35.0年；30年以上123,027宅；占60.5%</x:v>
      </x:c>
      <x:c r="N6" s="10" t="str">
        <x:v>初篩代理指標；非實測碳排量，亦非官方BERS/BERSe評分</x:v>
      </x:c>
    </x:row>
    <x:row r="7">
      <x:c r="A7" s="32" t="n">
        <x:v>3</x:v>
      </x:c>
      <x:c r="B7" s="32" t="str">
        <x:v>冬山鄉</x:v>
      </x:c>
      <x:c r="C7" s="32" t="str">
        <x:v>1000208</x:v>
      </x:c>
      <x:c r="D7" s="24" t="n">
        <x:v>21406</x:v>
      </x:c>
      <x:c r="E7" s="24" t="n">
        <x:v>32</x:v>
      </x:c>
      <x:c r="F7" s="26" t="n">
        <x:v>55.69</x:v>
      </x:c>
      <x:c r="G7" s="24" t="n">
        <x:f>ROUND(D7*F7/100,0)</x:f>
        <x:v>11921</x:v>
      </x:c>
      <x:c r="H7" s="28" t="n">
        <x:f>(F7-MIN($F$5:$F$16))/(MAX($F$5:$F$16)-MIN($F$5:$F$16))</x:f>
        <x:v>0.48683344305464116</x:v>
      </x:c>
      <x:c r="I7" s="28" t="n">
        <x:f>(G7-MIN($G$5:$G$16))/(MAX($G$5:$G$16)-MIN($G$5:$G$16))</x:f>
        <x:v>0.6346836441489662</x:v>
      </x:c>
      <x:c r="J7" s="30" t="n">
        <x:f>ROUND(100*(0.65*H7+0.35*I7),1)</x:f>
        <x:v>53.9</x:v>
      </x:c>
      <x:c r="K7" s="32" t="str">
        <x:f>IF(J7&gt;=75,"A 極高優先",IF(J7&gt;=55,"B 高優先",IF(J7&gt;=35,"C 中度","D 較低")))</x:f>
        <x:v>C 中度</x:v>
      </x:c>
      <x:c r="L7" s="10" t="str">
        <x:v>2019年末</x:v>
      </x:c>
      <x:c r="M7" s="10" t="str">
        <x:v>宜蘭縣 2025 Q2：平均屋齡35.0年；30年以上123,027宅；占60.5%</x:v>
      </x:c>
      <x:c r="N7" s="10" t="str">
        <x:v>初篩代理指標；非實測碳排量，亦非官方BERS/BERSe評分</x:v>
      </x:c>
    </x:row>
    <x:row r="8">
      <x:c r="A8" s="32" t="n">
        <x:v>4</x:v>
      </x:c>
      <x:c r="B8" s="32" t="str">
        <x:v>南澳鄉</x:v>
      </x:c>
      <x:c r="C8" s="32" t="str">
        <x:v>1000212</x:v>
      </x:c>
      <x:c r="D8" s="24" t="n">
        <x:v>1075</x:v>
      </x:c>
      <x:c r="E8" s="24" t="n">
        <x:v>32</x:v>
      </x:c>
      <x:c r="F8" s="26" t="n">
        <x:v>62.14</x:v>
      </x:c>
      <x:c r="G8" s="24" t="n">
        <x:f>ROUND(D8*F8/100,0)</x:f>
        <x:v>668</x:v>
      </x:c>
      <x:c r="H8" s="28" t="n">
        <x:f>(F8-MIN($F$5:$F$16))/(MAX($F$5:$F$16)-MIN($F$5:$F$16))</x:f>
        <x:v>0.6991441737985516</x:v>
      </x:c>
      <x:c r="I8" s="28" t="n">
        <x:f>(G8-MIN($G$5:$G$16))/(MAX($G$5:$G$16)-MIN($G$5:$G$16))</x:f>
        <x:v>0.0006760944278550905</x:v>
      </x:c>
      <x:c r="J8" s="30" t="n">
        <x:f>ROUND(100*(0.65*H8+0.35*I8),1)</x:f>
        <x:v>45.5</x:v>
      </x:c>
      <x:c r="K8" s="32" t="str">
        <x:f>IF(J8&gt;=75,"A 極高優先",IF(J8&gt;=55,"B 高優先",IF(J8&gt;=35,"C 中度","D 較低")))</x:f>
        <x:v>C 中度</x:v>
      </x:c>
      <x:c r="L8" s="10" t="str">
        <x:v>2019年末</x:v>
      </x:c>
      <x:c r="M8" s="10" t="str">
        <x:v>宜蘭縣 2025 Q2：平均屋齡35.0年；30年以上123,027宅；占60.5%</x:v>
      </x:c>
      <x:c r="N8" s="10" t="str">
        <x:v>初篩代理指標；非實測碳排量，亦非官方BERS/BERSe評分</x:v>
      </x:c>
    </x:row>
    <x:row r="9">
      <x:c r="A9" s="32" t="n">
        <x:v>5</x:v>
      </x:c>
      <x:c r="B9" s="32" t="str">
        <x:v>宜蘭市</x:v>
      </x:c>
      <x:c r="C9" s="32" t="str">
        <x:v>1000201</x:v>
      </x:c>
      <x:c r="D9" s="24" t="n">
        <x:v>40414</x:v>
      </x:c>
      <x:c r="E9" s="24" t="n">
        <x:v>29</x:v>
      </x:c>
      <x:c r="F9" s="26" t="n">
        <x:v>45.54</x:v>
      </x:c>
      <x:c r="G9" s="24" t="n">
        <x:f>ROUND(D9*F9/100,0)</x:f>
        <x:v>18405</x:v>
      </x:c>
      <x:c r="H9" s="28" t="n">
        <x:f>(F9-MIN($F$5:$F$16))/(MAX($F$5:$F$16)-MIN($F$5:$F$16))</x:f>
        <x:v>0.15273206056616195</x:v>
      </x:c>
      <x:c r="I9" s="28" t="n">
        <x:f>(G9-MIN($G$5:$G$16))/(MAX($G$5:$G$16)-MIN($G$5:$G$16))</x:f>
        <x:v>1</x:v>
      </x:c>
      <x:c r="J9" s="30" t="n">
        <x:f>ROUND(100*(0.65*H9+0.35*I9),1)</x:f>
        <x:v>44.9</x:v>
      </x:c>
      <x:c r="K9" s="32" t="str">
        <x:f>IF(J9&gt;=75,"A 極高優先",IF(J9&gt;=55,"B 高優先",IF(J9&gt;=35,"C 中度","D 較低")))</x:f>
        <x:v>C 中度</x:v>
      </x:c>
      <x:c r="L9" s="10" t="str">
        <x:v>2019年末</x:v>
      </x:c>
      <x:c r="M9" s="10" t="str">
        <x:v>宜蘭縣 2025 Q2：平均屋齡35.0年；30年以上123,027宅；占60.5%</x:v>
      </x:c>
      <x:c r="N9" s="10" t="str">
        <x:v>初篩代理指標；非實測碳排量，亦非官方BERS/BERSe評分</x:v>
      </x:c>
    </x:row>
    <x:row r="10">
      <x:c r="A10" s="32" t="n">
        <x:v>6</x:v>
      </x:c>
      <x:c r="B10" s="32" t="str">
        <x:v>羅東鎮</x:v>
      </x:c>
      <x:c r="C10" s="32" t="str">
        <x:v>1000202</x:v>
      </x:c>
      <x:c r="D10" s="24" t="n">
        <x:v>27409</x:v>
      </x:c>
      <x:c r="E10" s="24" t="n">
        <x:v>33</x:v>
      </x:c>
      <x:c r="F10" s="26" t="n">
        <x:v>49.71</x:v>
      </x:c>
      <x:c r="G10" s="24" t="n">
        <x:f>ROUND(D10*F10/100,0)</x:f>
        <x:v>13625</x:v>
      </x:c>
      <x:c r="H10" s="28" t="n">
        <x:f>(F10-MIN($F$5:$F$16))/(MAX($F$5:$F$16)-MIN($F$5:$F$16))</x:f>
        <x:v>0.2899934167215274</x:v>
      </x:c>
      <x:c r="I10" s="28" t="n">
        <x:f>(G10-MIN($G$5:$G$16))/(MAX($G$5:$G$16)-MIN($G$5:$G$16))</x:f>
        <x:v>0.730689052904389</x:v>
      </x:c>
      <x:c r="J10" s="30" t="n">
        <x:f>ROUND(100*(0.65*H10+0.35*I10),1)</x:f>
        <x:v>44.4</x:v>
      </x:c>
      <x:c r="K10" s="32" t="str">
        <x:f>IF(J10&gt;=75,"A 極高優先",IF(J10&gt;=55,"B 高優先",IF(J10&gt;=35,"C 中度","D 較低")))</x:f>
        <x:v>C 中度</x:v>
      </x:c>
      <x:c r="L10" s="10" t="str">
        <x:v>2019年末</x:v>
      </x:c>
      <x:c r="M10" s="10" t="str">
        <x:v>宜蘭縣 2025 Q2：平均屋齡35.0年；30年以上123,027宅；占60.5%</x:v>
      </x:c>
      <x:c r="N10" s="10" t="str">
        <x:v>初篩代理指標；非實測碳排量，亦非官方BERS/BERSe評分</x:v>
      </x:c>
    </x:row>
    <x:row r="11">
      <x:c r="A11" s="32" t="n">
        <x:v>7</x:v>
      </x:c>
      <x:c r="B11" s="32" t="str">
        <x:v>大同鄉</x:v>
      </x:c>
      <x:c r="C11" s="32" t="str">
        <x:v>1000211</x:v>
      </x:c>
      <x:c r="D11" s="24" t="n">
        <x:v>1165</x:v>
      </x:c>
      <x:c r="E11" s="24" t="n">
        <x:v>31</x:v>
      </x:c>
      <x:c r="F11" s="26" t="n">
        <x:v>56.31</x:v>
      </x:c>
      <x:c r="G11" s="24" t="n">
        <x:f>ROUND(D11*F11/100,0)</x:f>
        <x:v>656</x:v>
      </x:c>
      <x:c r="H11" s="28" t="n">
        <x:f>(F11-MIN($F$5:$F$16))/(MAX($F$5:$F$16)-MIN($F$5:$F$16))</x:f>
        <x:v>0.5072416063199474</x:v>
      </x:c>
      <x:c r="I11" s="28" t="n">
        <x:f>(G11-MIN($G$5:$G$16))/(MAX($G$5:$G$16)-MIN($G$5:$G$16))</x:f>
        <x:v>0</x:v>
      </x:c>
      <x:c r="J11" s="30" t="n">
        <x:f>ROUND(100*(0.65*H11+0.35*I11),1)</x:f>
        <x:v>33</x:v>
      </x:c>
      <x:c r="K11" s="32" t="str">
        <x:f>IF(J11&gt;=75,"A 極高優先",IF(J11&gt;=55,"B 高優先",IF(J11&gt;=35,"C 中度","D 較低")))</x:f>
        <x:v>D 較低</x:v>
      </x:c>
      <x:c r="L11" s="10" t="str">
        <x:v>2019年末</x:v>
      </x:c>
      <x:c r="M11" s="10" t="str">
        <x:v>宜蘭縣 2025 Q2：平均屋齡35.0年；30年以上123,027宅；占60.5%</x:v>
      </x:c>
      <x:c r="N11" s="10" t="str">
        <x:v>初篩代理指標；非實測碳排量，亦非官方BERS/BERSe評分</x:v>
      </x:c>
    </x:row>
    <x:row r="12">
      <x:c r="A12" s="32" t="n">
        <x:v>8</x:v>
      </x:c>
      <x:c r="B12" s="32" t="str">
        <x:v>員山鄉</x:v>
      </x:c>
      <x:c r="C12" s="32" t="str">
        <x:v>1000207</x:v>
      </x:c>
      <x:c r="D12" s="24" t="n">
        <x:v>11921</x:v>
      </x:c>
      <x:c r="E12" s="24" t="n">
        <x:v>30</x:v>
      </x:c>
      <x:c r="F12" s="26" t="n">
        <x:v>50.65</x:v>
      </x:c>
      <x:c r="G12" s="24" t="n">
        <x:f>ROUND(D12*F12/100,0)</x:f>
        <x:v>6038</x:v>
      </x:c>
      <x:c r="H12" s="28" t="n">
        <x:f>(F12-MIN($F$5:$F$16))/(MAX($F$5:$F$16)-MIN($F$5:$F$16))</x:f>
        <x:v>0.32093482554312047</x:v>
      </x:c>
      <x:c r="I12" s="28" t="n">
        <x:f>(G12-MIN($G$5:$G$16))/(MAX($G$5:$G$16)-MIN($G$5:$G$16))</x:f>
        <x:v>0.30322835089300804</x:v>
      </x:c>
      <x:c r="J12" s="30" t="n">
        <x:f>ROUND(100*(0.65*H12+0.35*I12),1)</x:f>
        <x:v>31.5</x:v>
      </x:c>
      <x:c r="K12" s="32" t="str">
        <x:f>IF(J12&gt;=75,"A 極高優先",IF(J12&gt;=55,"B 高優先",IF(J12&gt;=35,"C 中度","D 較低")))</x:f>
        <x:v>D 較低</x:v>
      </x:c>
      <x:c r="L12" s="10" t="str">
        <x:v>2019年末</x:v>
      </x:c>
      <x:c r="M12" s="10" t="str">
        <x:v>宜蘭縣 2025 Q2：平均屋齡35.0年；30年以上123,027宅；占60.5%</x:v>
      </x:c>
      <x:c r="N12" s="10" t="str">
        <x:v>初篩代理指標；非實測碳排量，亦非官方BERS/BERSe評分</x:v>
      </x:c>
    </x:row>
    <x:row r="13">
      <x:c r="A13" s="32" t="n">
        <x:v>9</x:v>
      </x:c>
      <x:c r="B13" s="32" t="str">
        <x:v>壯圍鄉</x:v>
      </x:c>
      <x:c r="C13" s="32" t="str">
        <x:v>1000206</x:v>
      </x:c>
      <x:c r="D13" s="24" t="n">
        <x:v>8793</x:v>
      </x:c>
      <x:c r="E13" s="24" t="n">
        <x:v>32</x:v>
      </x:c>
      <x:c r="F13" s="26" t="n">
        <x:v>51.79</x:v>
      </x:c>
      <x:c r="G13" s="24" t="n">
        <x:f>ROUND(D13*F13/100,0)</x:f>
        <x:v>4554</x:v>
      </x:c>
      <x:c r="H13" s="28" t="n">
        <x:f>(F13-MIN($F$5:$F$16))/(MAX($F$5:$F$16)-MIN($F$5:$F$16))</x:f>
        <x:v>0.358459512837393</x:v>
      </x:c>
      <x:c r="I13" s="28" t="n">
        <x:f>(G13-MIN($G$5:$G$16))/(MAX($G$5:$G$16)-MIN($G$5:$G$16))</x:f>
        <x:v>0.21961800664826187</x:v>
      </x:c>
      <x:c r="J13" s="30" t="n">
        <x:f>ROUND(100*(0.65*H13+0.35*I13),1)</x:f>
        <x:v>31</x:v>
      </x:c>
      <x:c r="K13" s="32" t="str">
        <x:f>IF(J13&gt;=75,"A 極高優先",IF(J13&gt;=55,"B 高優先",IF(J13&gt;=35,"C 中度","D 較低")))</x:f>
        <x:v>D 較低</x:v>
      </x:c>
      <x:c r="L13" s="10" t="str">
        <x:v>2019年末</x:v>
      </x:c>
      <x:c r="M13" s="10" t="str">
        <x:v>宜蘭縣 2025 Q2：平均屋齡35.0年；30年以上123,027宅；占60.5%</x:v>
      </x:c>
      <x:c r="N13" s="10" t="str">
        <x:v>初篩代理指標；非實測碳排量，亦非官方BERS/BERSe評分</x:v>
      </x:c>
    </x:row>
    <x:row r="14">
      <x:c r="A14" s="32" t="n">
        <x:v>10</x:v>
      </x:c>
      <x:c r="B14" s="32" t="str">
        <x:v>五結鄉</x:v>
      </x:c>
      <x:c r="C14" s="32" t="str">
        <x:v>1000209</x:v>
      </x:c>
      <x:c r="D14" s="24" t="n">
        <x:v>17737</x:v>
      </x:c>
      <x:c r="E14" s="24" t="n">
        <x:v>30</x:v>
      </x:c>
      <x:c r="F14" s="26" t="n">
        <x:v>47.04</x:v>
      </x:c>
      <x:c r="G14" s="24" t="n">
        <x:f>ROUND(D14*F14/100,0)</x:f>
        <x:v>8343</x:v>
      </x:c>
      <x:c r="H14" s="28" t="n">
        <x:f>(F14-MIN($F$5:$F$16))/(MAX($F$5:$F$16)-MIN($F$5:$F$16))</x:f>
        <x:v>0.20210664911125742</x:v>
      </x:c>
      <x:c r="I14" s="28" t="n">
        <x:f>(G14-MIN($G$5:$G$16))/(MAX($G$5:$G$16)-MIN($G$5:$G$16))</x:f>
        <x:v>0.43309482224350665</x:v>
      </x:c>
      <x:c r="J14" s="30" t="n">
        <x:f>ROUND(100*(0.65*H14+0.35*I14),1)</x:f>
        <x:v>28.3</x:v>
      </x:c>
      <x:c r="K14" s="32" t="str">
        <x:f>IF(J14&gt;=75,"A 極高優先",IF(J14&gt;=55,"B 高優先",IF(J14&gt;=35,"C 中度","D 較低")))</x:f>
        <x:v>D 較低</x:v>
      </x:c>
      <x:c r="L14" s="10" t="str">
        <x:v>2019年末</x:v>
      </x:c>
      <x:c r="M14" s="10" t="str">
        <x:v>宜蘭縣 2025 Q2：平均屋齡35.0年；30年以上123,027宅；占60.5%</x:v>
      </x:c>
      <x:c r="N14" s="10" t="str">
        <x:v>初篩代理指標；非實測碳排量，亦非官方BERS/BERSe評分</x:v>
      </x:c>
    </x:row>
    <x:row r="15">
      <x:c r="A15" s="32" t="n">
        <x:v>11</x:v>
      </x:c>
      <x:c r="B15" s="32" t="str">
        <x:v>三星鄉</x:v>
      </x:c>
      <x:c r="C15" s="32" t="str">
        <x:v>1000210</x:v>
      </x:c>
      <x:c r="D15" s="24" t="n">
        <x:v>8921</x:v>
      </x:c>
      <x:c r="E15" s="24" t="n">
        <x:v>32</x:v>
      </x:c>
      <x:c r="F15" s="26" t="n">
        <x:v>47.93</x:v>
      </x:c>
      <x:c r="G15" s="24" t="n">
        <x:f>ROUND(D15*F15/100,0)</x:f>
        <x:v>4276</x:v>
      </x:c>
      <x:c r="H15" s="28" t="n">
        <x:f>(F15-MIN($F$5:$F$16))/(MAX($F$5:$F$16)-MIN($F$5:$F$16))</x:f>
        <x:v>0.23140223831468074</x:v>
      </x:c>
      <x:c r="I15" s="28" t="n">
        <x:f>(G15-MIN($G$5:$G$16))/(MAX($G$5:$G$16)-MIN($G$5:$G$16))</x:f>
        <x:v>0.20395515240295228</x:v>
      </x:c>
      <x:c r="J15" s="30" t="n">
        <x:f>ROUND(100*(0.65*H15+0.35*I15),1)</x:f>
        <x:v>22.2</x:v>
      </x:c>
      <x:c r="K15" s="32" t="str">
        <x:f>IF(J15&gt;=75,"A 極高優先",IF(J15&gt;=55,"B 高優先",IF(J15&gt;=35,"C 中度","D 較低")))</x:f>
        <x:v>D 較低</x:v>
      </x:c>
      <x:c r="L15" s="10" t="str">
        <x:v>2019年末</x:v>
      </x:c>
      <x:c r="M15" s="10" t="str">
        <x:v>宜蘭縣 2025 Q2：平均屋齡35.0年；30年以上123,027宅；占60.5%</x:v>
      </x:c>
      <x:c r="N15" s="10" t="str">
        <x:v>初篩代理指標；非實測碳排量，亦非官方BERS/BERSe評分</x:v>
      </x:c>
    </x:row>
    <x:row r="16">
      <x:c r="A16" s="32" t="n">
        <x:v>12</x:v>
      </x:c>
      <x:c r="B16" s="32" t="str">
        <x:v>礁溪鄉</x:v>
      </x:c>
      <x:c r="C16" s="32" t="str">
        <x:v>1000205</x:v>
      </x:c>
      <x:c r="D16" s="24" t="n">
        <x:v>23076</x:v>
      </x:c>
      <x:c r="E16" s="24" t="n">
        <x:v>27</x:v>
      </x:c>
      <x:c r="F16" s="26" t="n">
        <x:v>40.9</x:v>
      </x:c>
      <x:c r="G16" s="24" t="n">
        <x:f>ROUND(D16*F16/100,0)</x:f>
        <x:v>9438</x:v>
      </x:c>
      <x:c r="H16" s="28" t="n">
        <x:f>(F16-MIN($F$5:$F$16))/(MAX($F$5:$F$16)-MIN($F$5:$F$16))</x:f>
        <x:v>0</x:v>
      </x:c>
      <x:c r="I16" s="28" t="n">
        <x:f>(G16-MIN($G$5:$G$16))/(MAX($G$5:$G$16)-MIN($G$5:$G$16))</x:f>
        <x:v>0.49478843878528367</x:v>
      </x:c>
      <x:c r="J16" s="30" t="n">
        <x:f>ROUND(100*(0.65*H16+0.35*I16),1)</x:f>
        <x:v>17.3</x:v>
      </x:c>
      <x:c r="K16" s="32" t="str">
        <x:f>IF(J16&gt;=75,"A 極高優先",IF(J16&gt;=55,"B 高優先",IF(J16&gt;=35,"C 中度","D 較低")))</x:f>
        <x:v>D 較低</x:v>
      </x:c>
      <x:c r="L16" s="10" t="str">
        <x:v>2019年末</x:v>
      </x:c>
      <x:c r="M16" s="10" t="str">
        <x:v>宜蘭縣 2025 Q2：平均屋齡35.0年；30年以上123,027宅；占60.5%</x:v>
      </x:c>
      <x:c r="N16" s="10" t="str">
        <x:v>初篩代理指標；非實測碳排量，亦非官方BERS/BERSe評分</x:v>
      </x:c>
    </x:row>
  </x:sheetData>
  <x:mergeCells>
    <x:mergeCell ref="A1:N1"/>
  </x:mergeCells>
  <x:conditionalFormatting sqref="J5:J16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f81bf7c15464be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5" hidden="0" customWidth="1"/>
    <x:col min="3" max="3" width="38" hidden="0" customWidth="1"/>
    <x:col min="4" max="4" width="55" hidden="0" customWidth="1"/>
  </x:cols>
  <x:sheetData>
    <x:row r="1">
      <x:c r="A1" s="34" t="str">
        <x:v>方法、資料期別與使用限制</x:v>
      </x:c>
      <x:c r="B1" s="34"/>
      <x:c r="C1" s="34"/>
      <x:c r="D1" s="34"/>
    </x:row>
    <x:row r="3">
      <x:c r="A3" s="15" t="str">
        <x:v>項目</x:v>
      </x:c>
      <x:c r="B3" s="15" t="str">
        <x:v>內容</x:v>
      </x:c>
      <x:c r="C3" s="15" t="str">
        <x:v>數值／規則</x:v>
      </x:c>
      <x:c r="D3" s="15" t="str">
        <x:v>來源</x:v>
      </x:c>
    </x:row>
    <x:row r="4">
      <x:c r="A4" s="10" t="str">
        <x:v>分析目的</x:v>
      </x:c>
      <x:c r="B4" s="10" t="str">
        <x:v>篩選值得優先進一步進行建築能效與碳排查核的鄉鎮市</x:v>
      </x:c>
      <x:c r="C4" s="10" t="str">
        <x:v>不是實際碳排量</x:v>
      </x:c>
      <x:c r="D4" s="10" t="str"/>
    </x:row>
    <x:row r="5">
      <x:c r="A5" s="10" t="str">
        <x:v>鄉鎮基線</x:v>
      </x:c>
      <x:c r="B5" s="10" t="str">
        <x:v>宜蘭縣住宅屋齡結構</x:v>
      </x:c>
      <x:c r="C5" s="10" t="str">
        <x:v>2019年末</x:v>
      </x:c>
      <x:c r="D5" s="10" t="str">
        <x:v>https://www.stat.org.tw/data/asoctopic/宜蘭縣住宅屋齡結構掃描.pdf</x:v>
      </x:c>
    </x:row>
    <x:row r="6">
      <x:c r="A6" s="10" t="str">
        <x:v>縣級現況</x:v>
      </x:c>
      <x:c r="B6" s="10" t="str">
        <x:v>宜蘭縣住宅屋齡現況參考</x:v>
      </x:c>
      <x:c r="C6" s="10" t="str">
        <x:v>2025 Q2：平均35.0年；30年以上123,027宅，占60.5%</x:v>
      </x:c>
      <x:c r="D6" s="10" t="str">
        <x:v>https://segis.moi.gov.tw/STATCloud/</x:v>
      </x:c>
    </x:row>
    <x:row r="7">
      <x:c r="A7" s="10" t="str">
        <x:v>綜合初篩指數</x:v>
      </x:c>
      <x:c r="B7" s="10" t="str">
        <x:v>老屋占比與老屋絕對量的加權正規化</x:v>
      </x:c>
      <x:c r="C7" s="10" t="str">
        <x:v>65%×占比正規化 + 35%×宅數正規化</x:v>
      </x:c>
      <x:c r="D7" s="10" t="str">
        <x:v>本專案方法</x:v>
      </x:c>
    </x:row>
    <x:row r="8">
      <x:c r="A8" s="10" t="str">
        <x:v>分級</x:v>
      </x:c>
      <x:c r="B8" s="10" t="str">
        <x:v>A/B/C/D</x:v>
      </x:c>
      <x:c r="C8" s="10" t="str">
        <x:v>A≥75；B≥55；C≥35；D&lt;35</x:v>
      </x:c>
      <x:c r="D8" s="10" t="str">
        <x:v>本專案方法</x:v>
      </x:c>
    </x:row>
    <x:row r="9">
      <x:c r="A9" s="10" t="str">
        <x:v>年代政策</x:v>
      </x:c>
      <x:c r="B9" s="10" t="str">
        <x:v>後續建物級模型</x:v>
      </x:c>
      <x:c r="C9" s="10" t="str">
        <x:v>1998年前優先；1995年前最高年代風險群</x:v>
      </x:c>
      <x:c r="D9" s="10" t="str">
        <x:v>專案設定</x:v>
      </x:c>
    </x:row>
    <x:row r="10">
      <x:c r="A10" s="10" t="str">
        <x:v>下一階段欄位</x:v>
      </x:c>
      <x:c r="B10" s="10" t="str">
        <x:v>使用執照、樓地板面積、用途、構造、樓層、熱環境、實際用電</x:v>
      </x:c>
      <x:c r="C10" s="10" t="str">
        <x:v>建物級模型</x:v>
      </x:c>
      <x:c r="D10" s="10" t="str"/>
    </x:row>
    <x:row r="11">
      <x:c r="A11" s="10" t="str">
        <x:v>BERS/BERSe</x:v>
      </x:c>
      <x:c r="B11" s="10" t="str">
        <x:v>屋齡不能直接換算碳排；正式能效需考慮外殼、空調、照明等</x:v>
      </x:c>
      <x:c r="C11" s="10" t="str">
        <x:v>需另行取得能效／用電資料</x:v>
      </x:c>
      <x:c r="D11" s="10" t="str">
        <x:v>https://www.abri.gov.tw/PeriodicalDetail.aspx?isShowAll=true&amp;key=99&amp;n=861&amp;s=2558</x:v>
      </x:c>
    </x:row>
  </x:sheetData>
  <x:mergeCells>
    <x:mergeCell ref="A1:D1"/>
  </x:mergeCells>
  <x:pageMargins left="0.7" right="0.7" top="0.75" bottom="0.75" header="0.3" footer="0.3"/>
</x:worksheet>
</file>